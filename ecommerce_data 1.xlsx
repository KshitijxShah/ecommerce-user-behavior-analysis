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5" yWindow="-15" windowWidth="34725" windowHeight="18765"/>
  </bookViews>
  <sheets>
    <sheet name="ecommerce_data" sheetId="1" r:id="rId1"/>
    <sheet name="Conversion_funnel" sheetId="3" r:id="rId2"/>
    <sheet name="Products_purchased" sheetId="4" r:id="rId3"/>
    <sheet name="Top-users" sheetId="5" r:id="rId4"/>
    <sheet name="Users_purchased" sheetId="6" r:id="rId5"/>
  </sheets>
  <calcPr calcId="191028"/>
  <pivotCaches>
    <pivotCache cacheId="0" r:id="rId6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/>
  <c r="F6"/>
  <c r="F4"/>
  <c r="G6" l="1"/>
  <c r="G5"/>
</calcChain>
</file>

<file path=xl/sharedStrings.xml><?xml version="1.0" encoding="utf-8"?>
<sst xmlns="http://schemas.openxmlformats.org/spreadsheetml/2006/main" count="77" uniqueCount="23">
  <si>
    <t>user_id</t>
  </si>
  <si>
    <t>event_type</t>
  </si>
  <si>
    <t>product_id</t>
  </si>
  <si>
    <t>category</t>
  </si>
  <si>
    <t>event_time</t>
  </si>
  <si>
    <t>view</t>
  </si>
  <si>
    <t>Electronics</t>
  </si>
  <si>
    <t>cart</t>
  </si>
  <si>
    <t>purchase</t>
  </si>
  <si>
    <t>Clothing</t>
  </si>
  <si>
    <t>Home</t>
  </si>
  <si>
    <t>Beauty</t>
  </si>
  <si>
    <t>Row Labels</t>
  </si>
  <si>
    <t>Event</t>
  </si>
  <si>
    <t xml:space="preserve">Stage </t>
  </si>
  <si>
    <t>Count</t>
  </si>
  <si>
    <t>Conversion</t>
  </si>
  <si>
    <t>View</t>
  </si>
  <si>
    <t xml:space="preserve">            -</t>
  </si>
  <si>
    <t>Cart</t>
  </si>
  <si>
    <t>Purchase</t>
  </si>
  <si>
    <t>Grand Total</t>
  </si>
  <si>
    <t>Count of event_type</t>
  </si>
</sst>
</file>

<file path=xl/styles.xml><?xml version="1.0" encoding="utf-8"?>
<styleSheet xmlns="http://schemas.openxmlformats.org/spreadsheetml/2006/main">
  <numFmts count="1">
    <numFmt numFmtId="164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42" applyNumberFormat="1" applyFont="1"/>
    <xf numFmtId="9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0.0%"/>
    </dxf>
    <dxf>
      <numFmt numFmtId="19" formatCode="m/d/yyyy"/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  <dxf>
      <alignment horizontal="center" vertical="bottom" textRotation="0" wrapText="0" indent="0" relativeIndent="255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Conversion Funnel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Conversion_funnel!$F$3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DB4E2"/>
            </a:solidFill>
            <a:ln>
              <a:noFill/>
            </a:ln>
            <a:effectLst/>
          </c:spPr>
          <c:cat>
            <c:strRef>
              <c:f>Conversion_funnel!$E$4:$E$6</c:f>
              <c:strCache>
                <c:ptCount val="3"/>
                <c:pt idx="0">
                  <c:v>View</c:v>
                </c:pt>
                <c:pt idx="1">
                  <c:v>Cart</c:v>
                </c:pt>
                <c:pt idx="2">
                  <c:v>Purchase</c:v>
                </c:pt>
              </c:strCache>
            </c:strRef>
          </c:cat>
          <c:val>
            <c:numRef>
              <c:f>Conversion_funnel!$F$4:$F$6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16-4718-933F-D9146782C677}"/>
            </c:ext>
          </c:extLst>
        </c:ser>
        <c:gapWidth val="219"/>
        <c:overlap val="-27"/>
        <c:axId val="156467200"/>
        <c:axId val="156468736"/>
      </c:barChart>
      <c:catAx>
        <c:axId val="15646720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8736"/>
        <c:crosses val="autoZero"/>
        <c:auto val="1"/>
        <c:lblAlgn val="ctr"/>
        <c:lblOffset val="100"/>
      </c:catAx>
      <c:valAx>
        <c:axId val="1564687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[ecommerce_data 1.xlsx]Products_purchased!PivotTable1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Purchased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EECE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ser>
          <c:idx val="0"/>
          <c:order val="0"/>
          <c:tx>
            <c:strRef>
              <c:f>Products_purchased!$B$3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spPr>
              <a:solidFill>
                <a:srgbClr val="95B3D7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ED8-4849-BFD8-21CD7DBAB7F2}"/>
              </c:ext>
            </c:extLst>
          </c:dPt>
          <c:dPt>
            <c:idx val="1"/>
            <c:spPr>
              <a:solidFill>
                <a:srgbClr val="EEECE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1BCC-4F99-8F4A-911F5DF42017}"/>
              </c:ext>
            </c:extLst>
          </c:dPt>
          <c:cat>
            <c:strRef>
              <c:f>Products_purchased!$A$4:$A$6</c:f>
              <c:strCache>
                <c:ptCount val="2"/>
                <c:pt idx="0">
                  <c:v>Beauty</c:v>
                </c:pt>
                <c:pt idx="1">
                  <c:v>Electronics</c:v>
                </c:pt>
              </c:strCache>
            </c:strRef>
          </c:cat>
          <c:val>
            <c:numRef>
              <c:f>Products_purchased!$B$4:$B$6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D8-4849-BFD8-21CD7DBAB7F2}"/>
            </c:ext>
          </c:extLst>
        </c:ser>
        <c:firstSliceAng val="0"/>
      </c:pieChart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[ecommerce_data 1.xlsx]Top-users!PivotTable2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Users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'Top-users'!$B$3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'Top-users'!$A$4:$A$7</c:f>
              <c:strCache>
                <c:ptCount val="3"/>
                <c:pt idx="0">
                  <c:v>101</c:v>
                </c:pt>
                <c:pt idx="1">
                  <c:v>106</c:v>
                </c:pt>
                <c:pt idx="2">
                  <c:v>102</c:v>
                </c:pt>
              </c:strCache>
            </c:strRef>
          </c:cat>
          <c:val>
            <c:numRef>
              <c:f>'Top-users'!$B$4:$B$7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39-46C1-98BF-7A8E87E00F82}"/>
            </c:ext>
          </c:extLst>
        </c:ser>
        <c:gapWidth val="88"/>
        <c:overlap val="100"/>
        <c:axId val="156769280"/>
        <c:axId val="156775168"/>
      </c:barChart>
      <c:catAx>
        <c:axId val="15676928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75168"/>
        <c:crosses val="autoZero"/>
        <c:auto val="1"/>
        <c:lblAlgn val="ctr"/>
        <c:lblOffset val="100"/>
      </c:catAx>
      <c:valAx>
        <c:axId val="15677516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9</xdr:row>
      <xdr:rowOff>66675</xdr:rowOff>
    </xdr:from>
    <xdr:to>
      <xdr:col>16</xdr:col>
      <xdr:colOff>142875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265C07D-4725-C585-91F1-6DBAB067B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</xdr:row>
      <xdr:rowOff>161925</xdr:rowOff>
    </xdr:from>
    <xdr:to>
      <xdr:col>10</xdr:col>
      <xdr:colOff>447675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3FF39720-3D58-4A21-BE0B-5A4C28DB0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6</xdr:row>
      <xdr:rowOff>47625</xdr:rowOff>
    </xdr:from>
    <xdr:to>
      <xdr:col>11</xdr:col>
      <xdr:colOff>38100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4D85EFB-E5F4-DF6B-3289-AE0989C59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42.712074305557" createdVersion="3" refreshedVersion="3" minRefreshableVersion="3" recordCount="22">
  <cacheSource type="worksheet">
    <worksheetSource name="Table3"/>
  </cacheSource>
  <cacheFields count="5">
    <cacheField name="user_id" numFmtId="0">
      <sharedItems containsSemiMixedTypes="0" containsString="0" containsNumber="1" containsInteger="1" minValue="101" maxValue="110" count="10">
        <n v="101"/>
        <n v="102"/>
        <n v="103"/>
        <n v="104"/>
        <n v="105"/>
        <n v="106"/>
        <n v="107"/>
        <n v="108"/>
        <n v="109"/>
        <n v="110"/>
      </sharedItems>
    </cacheField>
    <cacheField name="event_type" numFmtId="0">
      <sharedItems count="3">
        <s v="view"/>
        <s v="cart"/>
        <s v="purchase"/>
      </sharedItems>
    </cacheField>
    <cacheField name="product_id" numFmtId="0">
      <sharedItems containsSemiMixedTypes="0" containsString="0" containsNumber="1" containsInteger="1" minValue="2001" maxValue="2012"/>
    </cacheField>
    <cacheField name="category" numFmtId="0">
      <sharedItems count="4">
        <s v="Electronics"/>
        <s v="Clothing"/>
        <s v="Home"/>
        <s v="Beauty"/>
      </sharedItems>
    </cacheField>
    <cacheField name="event_time" numFmtId="14">
      <sharedItems containsSemiMixedTypes="0" containsNonDate="0" containsDate="1" containsString="0" minDate="2024-01-01T00:00:00" maxDate="2024-01-11T00:00:00" count="1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2001"/>
    <x v="0"/>
    <x v="0"/>
  </r>
  <r>
    <x v="0"/>
    <x v="1"/>
    <n v="2001"/>
    <x v="0"/>
    <x v="0"/>
  </r>
  <r>
    <x v="0"/>
    <x v="2"/>
    <n v="2001"/>
    <x v="0"/>
    <x v="0"/>
  </r>
  <r>
    <x v="1"/>
    <x v="0"/>
    <n v="2002"/>
    <x v="1"/>
    <x v="1"/>
  </r>
  <r>
    <x v="1"/>
    <x v="0"/>
    <n v="2003"/>
    <x v="1"/>
    <x v="1"/>
  </r>
  <r>
    <x v="1"/>
    <x v="1"/>
    <n v="2003"/>
    <x v="1"/>
    <x v="1"/>
  </r>
  <r>
    <x v="2"/>
    <x v="0"/>
    <n v="2004"/>
    <x v="2"/>
    <x v="2"/>
  </r>
  <r>
    <x v="2"/>
    <x v="0"/>
    <n v="2005"/>
    <x v="2"/>
    <x v="2"/>
  </r>
  <r>
    <x v="3"/>
    <x v="0"/>
    <n v="2001"/>
    <x v="0"/>
    <x v="3"/>
  </r>
  <r>
    <x v="3"/>
    <x v="1"/>
    <n v="2001"/>
    <x v="0"/>
    <x v="3"/>
  </r>
  <r>
    <x v="4"/>
    <x v="0"/>
    <n v="2006"/>
    <x v="3"/>
    <x v="4"/>
  </r>
  <r>
    <x v="4"/>
    <x v="2"/>
    <n v="2006"/>
    <x v="3"/>
    <x v="4"/>
  </r>
  <r>
    <x v="5"/>
    <x v="0"/>
    <n v="2007"/>
    <x v="0"/>
    <x v="5"/>
  </r>
  <r>
    <x v="5"/>
    <x v="1"/>
    <n v="2007"/>
    <x v="0"/>
    <x v="5"/>
  </r>
  <r>
    <x v="5"/>
    <x v="2"/>
    <n v="2007"/>
    <x v="0"/>
    <x v="5"/>
  </r>
  <r>
    <x v="6"/>
    <x v="0"/>
    <n v="2008"/>
    <x v="1"/>
    <x v="6"/>
  </r>
  <r>
    <x v="7"/>
    <x v="0"/>
    <n v="2009"/>
    <x v="2"/>
    <x v="7"/>
  </r>
  <r>
    <x v="7"/>
    <x v="1"/>
    <n v="2009"/>
    <x v="2"/>
    <x v="7"/>
  </r>
  <r>
    <x v="8"/>
    <x v="0"/>
    <n v="2010"/>
    <x v="3"/>
    <x v="8"/>
  </r>
  <r>
    <x v="8"/>
    <x v="0"/>
    <n v="2011"/>
    <x v="3"/>
    <x v="8"/>
  </r>
  <r>
    <x v="9"/>
    <x v="0"/>
    <n v="2012"/>
    <x v="0"/>
    <x v="9"/>
  </r>
  <r>
    <x v="9"/>
    <x v="1"/>
    <n v="2012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5"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numFmtId="1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vent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 rowPageCount="1" colPageCount="1"/>
  <pivotFields count="5">
    <pivotField showAll="0"/>
    <pivotField axis="axisPage" dataField="1"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event_typ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4">
  <location ref="A3:B7" firstHeaderRow="1" firstDataRow="1" firstDataCol="1"/>
  <pivotFields count="5">
    <pivotField axis="axisRow" showAll="0" measureFilter="1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4" showAll="0"/>
  </pivotFields>
  <rowFields count="1">
    <field x="0"/>
  </rowFields>
  <rowItems count="4">
    <i>
      <x/>
    </i>
    <i>
      <x v="5"/>
    </i>
    <i>
      <x v="1"/>
    </i>
    <i t="grand">
      <x/>
    </i>
  </rowItems>
  <colItems count="1">
    <i/>
  </colItems>
  <dataFields count="1">
    <dataField name="Count of event_type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3" filterVal="3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 rowPageCount="1" colPageCount="1"/>
  <pivotFields count="5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dataField="1" showAll="0">
      <items count="4">
        <item x="1"/>
        <item x="2"/>
        <item x="0"/>
        <item t="default"/>
      </items>
    </pivotField>
    <pivotField showAll="0"/>
    <pivotField showAll="0"/>
    <pivotField numFmtId="14" showAll="0"/>
  </pivotFields>
  <rowFields count="1">
    <field x="0"/>
  </rowFields>
  <rowItems count="4">
    <i>
      <x/>
    </i>
    <i>
      <x v="4"/>
    </i>
    <i>
      <x v="5"/>
    </i>
    <i t="grand">
      <x/>
    </i>
  </rowItems>
  <colItems count="1">
    <i/>
  </colItems>
  <pageFields count="1">
    <pageField fld="1" item="1" hier="-1"/>
  </pageFields>
  <dataFields count="1">
    <dataField name="Count of event_type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le3" displayName="Table3" ref="A1:E23" totalsRowShown="0" headerRowDxfId="7" dataDxfId="6">
  <autoFilter ref="A1:E23"/>
  <tableColumns count="5">
    <tableColumn id="1" name="user_id" dataDxfId="5"/>
    <tableColumn id="2" name="event_type" dataDxfId="4"/>
    <tableColumn id="3" name="product_id" dataDxfId="3"/>
    <tableColumn id="4" name="category" dataDxfId="2"/>
    <tableColumn id="5" name="event_tim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E3:G6" totalsRowShown="0">
  <autoFilter ref="E3:G6"/>
  <sortState ref="E4:G6">
    <sortCondition descending="1" ref="F3:F6"/>
  </sortState>
  <tableColumns count="3">
    <tableColumn id="1" name="Stage "/>
    <tableColumn id="2" name="Count"/>
    <tableColumn id="3" name="Conversion" dataDxfId="0" dataCellStyle="Percent">
      <calculatedColumnFormula>F4/F3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>
      <selection activeCell="I32" sqref="I32"/>
    </sheetView>
  </sheetViews>
  <sheetFormatPr defaultRowHeight="15"/>
  <cols>
    <col min="1" max="1" width="12.140625" bestFit="1" customWidth="1"/>
    <col min="2" max="2" width="15.7109375" bestFit="1" customWidth="1"/>
    <col min="3" max="3" width="15.140625" bestFit="1" customWidth="1"/>
    <col min="4" max="4" width="13.140625" bestFit="1" customWidth="1"/>
    <col min="5" max="5" width="15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101</v>
      </c>
      <c r="B2" s="1" t="s">
        <v>5</v>
      </c>
      <c r="C2" s="1">
        <v>2001</v>
      </c>
      <c r="D2" s="1" t="s">
        <v>6</v>
      </c>
      <c r="E2" s="2">
        <v>45292</v>
      </c>
    </row>
    <row r="3" spans="1:5">
      <c r="A3" s="1">
        <v>101</v>
      </c>
      <c r="B3" s="1" t="s">
        <v>7</v>
      </c>
      <c r="C3" s="1">
        <v>2001</v>
      </c>
      <c r="D3" s="1" t="s">
        <v>6</v>
      </c>
      <c r="E3" s="2">
        <v>45292</v>
      </c>
    </row>
    <row r="4" spans="1:5">
      <c r="A4" s="1">
        <v>101</v>
      </c>
      <c r="B4" s="1" t="s">
        <v>8</v>
      </c>
      <c r="C4" s="1">
        <v>2001</v>
      </c>
      <c r="D4" s="1" t="s">
        <v>6</v>
      </c>
      <c r="E4" s="2">
        <v>45292</v>
      </c>
    </row>
    <row r="5" spans="1:5">
      <c r="A5" s="1">
        <v>102</v>
      </c>
      <c r="B5" s="1" t="s">
        <v>5</v>
      </c>
      <c r="C5" s="1">
        <v>2002</v>
      </c>
      <c r="D5" s="1" t="s">
        <v>9</v>
      </c>
      <c r="E5" s="2">
        <v>45293</v>
      </c>
    </row>
    <row r="6" spans="1:5">
      <c r="A6" s="1">
        <v>102</v>
      </c>
      <c r="B6" s="1" t="s">
        <v>5</v>
      </c>
      <c r="C6" s="1">
        <v>2003</v>
      </c>
      <c r="D6" s="1" t="s">
        <v>9</v>
      </c>
      <c r="E6" s="2">
        <v>45293</v>
      </c>
    </row>
    <row r="7" spans="1:5">
      <c r="A7" s="1">
        <v>102</v>
      </c>
      <c r="B7" s="1" t="s">
        <v>7</v>
      </c>
      <c r="C7" s="1">
        <v>2003</v>
      </c>
      <c r="D7" s="1" t="s">
        <v>9</v>
      </c>
      <c r="E7" s="2">
        <v>45293</v>
      </c>
    </row>
    <row r="8" spans="1:5">
      <c r="A8" s="1">
        <v>103</v>
      </c>
      <c r="B8" s="1" t="s">
        <v>5</v>
      </c>
      <c r="C8" s="1">
        <v>2004</v>
      </c>
      <c r="D8" s="1" t="s">
        <v>10</v>
      </c>
      <c r="E8" s="2">
        <v>45294</v>
      </c>
    </row>
    <row r="9" spans="1:5">
      <c r="A9" s="1">
        <v>103</v>
      </c>
      <c r="B9" s="1" t="s">
        <v>5</v>
      </c>
      <c r="C9" s="1">
        <v>2005</v>
      </c>
      <c r="D9" s="1" t="s">
        <v>10</v>
      </c>
      <c r="E9" s="2">
        <v>45294</v>
      </c>
    </row>
    <row r="10" spans="1:5">
      <c r="A10" s="1">
        <v>104</v>
      </c>
      <c r="B10" s="1" t="s">
        <v>5</v>
      </c>
      <c r="C10" s="1">
        <v>2001</v>
      </c>
      <c r="D10" s="1" t="s">
        <v>6</v>
      </c>
      <c r="E10" s="2">
        <v>45295</v>
      </c>
    </row>
    <row r="11" spans="1:5">
      <c r="A11" s="1">
        <v>104</v>
      </c>
      <c r="B11" s="1" t="s">
        <v>7</v>
      </c>
      <c r="C11" s="1">
        <v>2001</v>
      </c>
      <c r="D11" s="1" t="s">
        <v>6</v>
      </c>
      <c r="E11" s="2">
        <v>45295</v>
      </c>
    </row>
    <row r="12" spans="1:5">
      <c r="A12" s="1">
        <v>105</v>
      </c>
      <c r="B12" s="1" t="s">
        <v>5</v>
      </c>
      <c r="C12" s="1">
        <v>2006</v>
      </c>
      <c r="D12" s="1" t="s">
        <v>11</v>
      </c>
      <c r="E12" s="2">
        <v>45296</v>
      </c>
    </row>
    <row r="13" spans="1:5">
      <c r="A13" s="1">
        <v>105</v>
      </c>
      <c r="B13" s="1" t="s">
        <v>8</v>
      </c>
      <c r="C13" s="1">
        <v>2006</v>
      </c>
      <c r="D13" s="1" t="s">
        <v>11</v>
      </c>
      <c r="E13" s="2">
        <v>45296</v>
      </c>
    </row>
    <row r="14" spans="1:5">
      <c r="A14" s="1">
        <v>106</v>
      </c>
      <c r="B14" s="1" t="s">
        <v>5</v>
      </c>
      <c r="C14" s="1">
        <v>2007</v>
      </c>
      <c r="D14" s="1" t="s">
        <v>6</v>
      </c>
      <c r="E14" s="2">
        <v>45297</v>
      </c>
    </row>
    <row r="15" spans="1:5">
      <c r="A15" s="1">
        <v>106</v>
      </c>
      <c r="B15" s="1" t="s">
        <v>7</v>
      </c>
      <c r="C15" s="1">
        <v>2007</v>
      </c>
      <c r="D15" s="1" t="s">
        <v>6</v>
      </c>
      <c r="E15" s="2">
        <v>45297</v>
      </c>
    </row>
    <row r="16" spans="1:5">
      <c r="A16" s="1">
        <v>106</v>
      </c>
      <c r="B16" s="1" t="s">
        <v>8</v>
      </c>
      <c r="C16" s="1">
        <v>2007</v>
      </c>
      <c r="D16" s="1" t="s">
        <v>6</v>
      </c>
      <c r="E16" s="2">
        <v>45297</v>
      </c>
    </row>
    <row r="17" spans="1:5">
      <c r="A17" s="1">
        <v>107</v>
      </c>
      <c r="B17" s="1" t="s">
        <v>5</v>
      </c>
      <c r="C17" s="1">
        <v>2008</v>
      </c>
      <c r="D17" s="1" t="s">
        <v>9</v>
      </c>
      <c r="E17" s="2">
        <v>45298</v>
      </c>
    </row>
    <row r="18" spans="1:5">
      <c r="A18" s="1">
        <v>108</v>
      </c>
      <c r="B18" s="1" t="s">
        <v>5</v>
      </c>
      <c r="C18" s="1">
        <v>2009</v>
      </c>
      <c r="D18" s="1" t="s">
        <v>10</v>
      </c>
      <c r="E18" s="2">
        <v>45299</v>
      </c>
    </row>
    <row r="19" spans="1:5">
      <c r="A19" s="1">
        <v>108</v>
      </c>
      <c r="B19" s="1" t="s">
        <v>7</v>
      </c>
      <c r="C19" s="1">
        <v>2009</v>
      </c>
      <c r="D19" s="1" t="s">
        <v>10</v>
      </c>
      <c r="E19" s="2">
        <v>45299</v>
      </c>
    </row>
    <row r="20" spans="1:5">
      <c r="A20" s="1">
        <v>109</v>
      </c>
      <c r="B20" s="1" t="s">
        <v>5</v>
      </c>
      <c r="C20" s="1">
        <v>2010</v>
      </c>
      <c r="D20" s="1" t="s">
        <v>11</v>
      </c>
      <c r="E20" s="2">
        <v>45300</v>
      </c>
    </row>
    <row r="21" spans="1:5">
      <c r="A21" s="1">
        <v>109</v>
      </c>
      <c r="B21" s="1" t="s">
        <v>5</v>
      </c>
      <c r="C21" s="1">
        <v>2011</v>
      </c>
      <c r="D21" s="1" t="s">
        <v>11</v>
      </c>
      <c r="E21" s="2">
        <v>45300</v>
      </c>
    </row>
    <row r="22" spans="1:5">
      <c r="A22" s="1">
        <v>110</v>
      </c>
      <c r="B22" s="1" t="s">
        <v>5</v>
      </c>
      <c r="C22" s="1">
        <v>2012</v>
      </c>
      <c r="D22" s="1" t="s">
        <v>6</v>
      </c>
      <c r="E22" s="2">
        <v>45301</v>
      </c>
    </row>
    <row r="23" spans="1:5">
      <c r="A23" s="1">
        <v>110</v>
      </c>
      <c r="B23" s="1" t="s">
        <v>7</v>
      </c>
      <c r="C23" s="1">
        <v>2012</v>
      </c>
      <c r="D23" s="1" t="s">
        <v>6</v>
      </c>
      <c r="E23" s="2">
        <v>45301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G7"/>
  <sheetViews>
    <sheetView workbookViewId="0">
      <selection activeCell="M44" sqref="M44"/>
    </sheetView>
  </sheetViews>
  <sheetFormatPr defaultRowHeight="15"/>
  <cols>
    <col min="1" max="1" width="13.140625" bestFit="1" customWidth="1"/>
    <col min="2" max="2" width="6" customWidth="1"/>
    <col min="7" max="7" width="13.140625" customWidth="1"/>
  </cols>
  <sheetData>
    <row r="3" spans="1:7">
      <c r="A3" s="3" t="s">
        <v>12</v>
      </c>
      <c r="B3" t="s">
        <v>13</v>
      </c>
      <c r="E3" t="s">
        <v>14</v>
      </c>
      <c r="F3" t="s">
        <v>15</v>
      </c>
      <c r="G3" t="s">
        <v>16</v>
      </c>
    </row>
    <row r="4" spans="1:7">
      <c r="A4" s="4" t="s">
        <v>5</v>
      </c>
      <c r="B4" s="5">
        <v>13</v>
      </c>
      <c r="E4" t="s">
        <v>17</v>
      </c>
      <c r="F4">
        <f>GETPIVOTDATA("event_type",A3,"event_type","view")</f>
        <v>13</v>
      </c>
      <c r="G4" s="6" t="s">
        <v>18</v>
      </c>
    </row>
    <row r="5" spans="1:7">
      <c r="A5" s="4" t="s">
        <v>7</v>
      </c>
      <c r="B5" s="5">
        <v>6</v>
      </c>
      <c r="E5" t="s">
        <v>19</v>
      </c>
      <c r="F5">
        <f>GETPIVOTDATA("event_type",A3,"event_type","cart")</f>
        <v>6</v>
      </c>
      <c r="G5" s="6">
        <f>F5/F4</f>
        <v>0.46153846153846156</v>
      </c>
    </row>
    <row r="6" spans="1:7">
      <c r="A6" s="4" t="s">
        <v>8</v>
      </c>
      <c r="B6" s="5">
        <v>3</v>
      </c>
      <c r="E6" t="s">
        <v>20</v>
      </c>
      <c r="F6">
        <f>GETPIVOTDATA("event_type",A3,"event_type","purchase")</f>
        <v>3</v>
      </c>
      <c r="G6" s="7">
        <f>F6/F5</f>
        <v>0.5</v>
      </c>
    </row>
    <row r="7" spans="1:7">
      <c r="A7" s="4" t="s">
        <v>21</v>
      </c>
      <c r="B7" s="5">
        <v>22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P21" sqref="P21"/>
    </sheetView>
  </sheetViews>
  <sheetFormatPr defaultRowHeight="15"/>
  <cols>
    <col min="1" max="1" width="13.140625" bestFit="1" customWidth="1"/>
    <col min="2" max="2" width="19.42578125" customWidth="1"/>
  </cols>
  <sheetData>
    <row r="1" spans="1:2">
      <c r="A1" s="3" t="s">
        <v>1</v>
      </c>
      <c r="B1" t="s">
        <v>8</v>
      </c>
    </row>
    <row r="3" spans="1:2">
      <c r="A3" s="3" t="s">
        <v>12</v>
      </c>
      <c r="B3" t="s">
        <v>22</v>
      </c>
    </row>
    <row r="4" spans="1:2">
      <c r="A4" s="4" t="s">
        <v>11</v>
      </c>
      <c r="B4" s="5">
        <v>1</v>
      </c>
    </row>
    <row r="5" spans="1:2">
      <c r="A5" s="4" t="s">
        <v>6</v>
      </c>
      <c r="B5" s="5">
        <v>2</v>
      </c>
    </row>
    <row r="6" spans="1:2">
      <c r="A6" s="4" t="s">
        <v>21</v>
      </c>
      <c r="B6" s="5">
        <v>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Q27" sqref="Q27"/>
    </sheetView>
  </sheetViews>
  <sheetFormatPr defaultRowHeight="15"/>
  <cols>
    <col min="1" max="1" width="14" bestFit="1" customWidth="1"/>
    <col min="2" max="2" width="19.140625" bestFit="1" customWidth="1"/>
  </cols>
  <sheetData>
    <row r="3" spans="1:2">
      <c r="A3" s="3" t="s">
        <v>12</v>
      </c>
      <c r="B3" t="s">
        <v>22</v>
      </c>
    </row>
    <row r="4" spans="1:2">
      <c r="A4" s="4">
        <v>101</v>
      </c>
      <c r="B4" s="5">
        <v>3</v>
      </c>
    </row>
    <row r="5" spans="1:2">
      <c r="A5" s="4">
        <v>106</v>
      </c>
      <c r="B5" s="5">
        <v>3</v>
      </c>
    </row>
    <row r="6" spans="1:2">
      <c r="A6" s="4">
        <v>102</v>
      </c>
      <c r="B6" s="5">
        <v>3</v>
      </c>
    </row>
    <row r="7" spans="1:2">
      <c r="A7" s="4" t="s">
        <v>21</v>
      </c>
      <c r="B7" s="5">
        <v>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H50" sqref="H50"/>
    </sheetView>
  </sheetViews>
  <sheetFormatPr defaultRowHeight="15"/>
  <cols>
    <col min="1" max="1" width="13.140625" bestFit="1" customWidth="1"/>
    <col min="2" max="2" width="19.42578125" bestFit="1" customWidth="1"/>
  </cols>
  <sheetData>
    <row r="1" spans="1:2">
      <c r="A1" s="3" t="s">
        <v>1</v>
      </c>
      <c r="B1" t="s">
        <v>8</v>
      </c>
    </row>
    <row r="3" spans="1:2">
      <c r="A3" s="3" t="s">
        <v>12</v>
      </c>
      <c r="B3" t="s">
        <v>22</v>
      </c>
    </row>
    <row r="4" spans="1:2">
      <c r="A4" s="4">
        <v>101</v>
      </c>
      <c r="B4" s="5">
        <v>1</v>
      </c>
    </row>
    <row r="5" spans="1:2">
      <c r="A5" s="4">
        <v>105</v>
      </c>
      <c r="B5" s="5">
        <v>1</v>
      </c>
    </row>
    <row r="6" spans="1:2">
      <c r="A6" s="4">
        <v>106</v>
      </c>
      <c r="B6" s="5">
        <v>1</v>
      </c>
    </row>
    <row r="7" spans="1:2">
      <c r="A7" s="4" t="s">
        <v>21</v>
      </c>
      <c r="B7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ecommerce_data</vt:lpstr>
      <vt:lpstr>Conversion_funnel</vt:lpstr>
      <vt:lpstr>Products_purchased</vt:lpstr>
      <vt:lpstr>Top-users</vt:lpstr>
      <vt:lpstr>Users_purchased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Srishti Shah</dc:creator>
  <cp:keywords/>
  <dc:description/>
  <cp:lastModifiedBy>Admin</cp:lastModifiedBy>
  <cp:revision/>
  <dcterms:created xsi:type="dcterms:W3CDTF">2026-04-30T11:32:09Z</dcterms:created>
  <dcterms:modified xsi:type="dcterms:W3CDTF">2026-05-01T15:56:04Z</dcterms:modified>
  <cp:category/>
  <cp:contentStatus/>
</cp:coreProperties>
</file>